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ujp\AppData\Local\Packages\5319275A.WhatsAppDesktop_cv1g1gvanyjgm\LocalState\sessions\EF8606A95C154D5F866BF4C8554D169A2F48A22C\transfers\2026-43\"/>
    </mc:Choice>
  </mc:AlternateContent>
  <xr:revisionPtr revIDLastSave="0" documentId="13_ncr:1_{30C71137-5DCE-4C23-A083-80D36B0B9B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ily Tracker" sheetId="1" r:id="rId1"/>
    <sheet name="Weekly Summary" sheetId="2" r:id="rId2"/>
    <sheet name="Dashboard" sheetId="3" r:id="rId3"/>
    <sheet name="Workout Analysis" sheetId="6" r:id="rId4"/>
  </sheets>
  <definedNames>
    <definedName name="_xlnm._FilterDatabase" localSheetId="0" hidden="1">'Daily Tracker'!$A$1:$L$31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D6" i="2"/>
  <c r="C9" i="6"/>
  <c r="B9" i="6"/>
  <c r="C8" i="6"/>
  <c r="B8" i="6"/>
  <c r="C7" i="6"/>
  <c r="B7" i="6"/>
  <c r="D7" i="6" s="1"/>
  <c r="C6" i="6"/>
  <c r="B6" i="6"/>
  <c r="C5" i="6"/>
  <c r="B5" i="6"/>
  <c r="D5" i="6" s="1"/>
  <c r="C4" i="6"/>
  <c r="B4" i="6"/>
  <c r="D4" i="6" s="1"/>
  <c r="B11" i="3"/>
  <c r="B10" i="3"/>
  <c r="B9" i="3"/>
  <c r="B8" i="3"/>
  <c r="K7" i="3"/>
  <c r="B7" i="3"/>
  <c r="K6" i="3"/>
  <c r="B6" i="3"/>
  <c r="K5" i="3"/>
  <c r="K4" i="3"/>
  <c r="K3" i="3"/>
  <c r="K2" i="3"/>
  <c r="I6" i="2"/>
  <c r="H6" i="2"/>
  <c r="G6" i="2"/>
  <c r="F6" i="2"/>
  <c r="E6" i="2"/>
  <c r="C6" i="2"/>
  <c r="B6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I2" i="2"/>
  <c r="H2" i="2"/>
  <c r="G2" i="2"/>
  <c r="F2" i="2"/>
  <c r="E2" i="2"/>
  <c r="D2" i="2"/>
  <c r="C2" i="2"/>
  <c r="B2" i="2"/>
  <c r="D9" i="6" l="1"/>
  <c r="D8" i="6"/>
  <c r="D6" i="6"/>
</calcChain>
</file>

<file path=xl/sharedStrings.xml><?xml version="1.0" encoding="utf-8"?>
<sst xmlns="http://schemas.openxmlformats.org/spreadsheetml/2006/main" count="145" uniqueCount="55">
  <si>
    <t>Date</t>
  </si>
  <si>
    <t>Day</t>
  </si>
  <si>
    <t>Steps</t>
  </si>
  <si>
    <t>Workout Type</t>
  </si>
  <si>
    <t>Workout Duration (min)</t>
  </si>
  <si>
    <t>Calories Burned</t>
  </si>
  <si>
    <t>Calories Intake</t>
  </si>
  <si>
    <t>Water (L)</t>
  </si>
  <si>
    <t>Sleep (hrs)</t>
  </si>
  <si>
    <t>Meal Pattern</t>
  </si>
  <si>
    <t>Weight (kg)</t>
  </si>
  <si>
    <t>Daily Wellness Score</t>
  </si>
  <si>
    <t>Tuesday</t>
  </si>
  <si>
    <t>Walking</t>
  </si>
  <si>
    <t>Balanced</t>
  </si>
  <si>
    <t>Wednesday</t>
  </si>
  <si>
    <t>High-carb</t>
  </si>
  <si>
    <t>Thursday</t>
  </si>
  <si>
    <t>Yoga</t>
  </si>
  <si>
    <t>Friday</t>
  </si>
  <si>
    <t>Jogging</t>
  </si>
  <si>
    <t>High-protein</t>
  </si>
  <si>
    <t>Saturday</t>
  </si>
  <si>
    <t>Strength</t>
  </si>
  <si>
    <t>Sunday</t>
  </si>
  <si>
    <t>Monday</t>
  </si>
  <si>
    <t>Rest</t>
  </si>
  <si>
    <t>Cycling</t>
  </si>
  <si>
    <t>Light</t>
  </si>
  <si>
    <t>Week</t>
  </si>
  <si>
    <t>Total Steps</t>
  </si>
  <si>
    <t>Avg Steps/Day</t>
  </si>
  <si>
    <t>Workout Minutes</t>
  </si>
  <si>
    <t>Avg Water (L)</t>
  </si>
  <si>
    <t>Avg Sleep (hrs)</t>
  </si>
  <si>
    <t>Avg Weight (kg)</t>
  </si>
  <si>
    <t>Avg Wellness Score</t>
  </si>
  <si>
    <t>Week 1</t>
  </si>
  <si>
    <t>Week 2</t>
  </si>
  <si>
    <t>Week 3</t>
  </si>
  <si>
    <t>Week 4</t>
  </si>
  <si>
    <t>Week 5</t>
  </si>
  <si>
    <t>HEALTH &amp; FITNESS TRACKER DASHBOARD</t>
  </si>
  <si>
    <t>Count</t>
  </si>
  <si>
    <t>Project period:</t>
  </si>
  <si>
    <t>01-Sep-2026 to 30-Sep-2026</t>
  </si>
  <si>
    <t>Key Metrics</t>
  </si>
  <si>
    <t>Total Workout Minutes</t>
  </si>
  <si>
    <t>Average Water (L)</t>
  </si>
  <si>
    <t>Average Sleep (hrs)</t>
  </si>
  <si>
    <t>Average Weight (kg)</t>
  </si>
  <si>
    <t>WORKOUT ANALYSIS</t>
  </si>
  <si>
    <t>Number of Days</t>
  </si>
  <si>
    <t>Total Minutes</t>
  </si>
  <si>
    <t>Average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</si>
</sst>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1F4E78"/>
      <name val="Calibri"/>
    </font>
    <font>
      <b/>
      <sz val="15"/>
      <name val="Calibri"/>
    </font>
    <font>
      <b/>
      <sz val="11"/>
      <name val="Calibri"/>
    </font>
    <font>
      <b/>
      <sz val="12"/>
      <name val="Calibri"/>
    </font>
    <font>
      <b/>
      <sz val="16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Daily Steps Trend</a:t>
            </a:r>
          </a:p>
        </c:rich>
      </c:tx>
      <c:layout>
        <c:manualLayout>
          <c:xMode val="edge"/>
          <c:yMode val="edge"/>
          <c:x val="0.3748250000000000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0.11087301587301587"/>
          <c:w val="0.70321858974358975"/>
          <c:h val="0.8891269841269841"/>
        </c:manualLayout>
      </c:layout>
      <c:lineChart>
        <c:grouping val="standard"/>
        <c:varyColors val="1"/>
        <c:ser>
          <c:idx val="0"/>
          <c:order val="0"/>
          <c:tx>
            <c:strRef>
              <c:f>'Daily Tracker'!$C$1</c:f>
              <c:strCache>
                <c:ptCount val="1"/>
                <c:pt idx="0">
                  <c:v>Steps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'Daily Tracker'!$A$2:$A$31</c:f>
              <c:numCache>
                <c:formatCode>dd\-mmm\-yyyy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'Daily Tracker'!$C$2:$C$31</c:f>
              <c:numCache>
                <c:formatCode>General</c:formatCode>
                <c:ptCount val="30"/>
                <c:pt idx="0">
                  <c:v>7253</c:v>
                </c:pt>
                <c:pt idx="1">
                  <c:v>5767</c:v>
                </c:pt>
                <c:pt idx="2">
                  <c:v>6805</c:v>
                </c:pt>
                <c:pt idx="3">
                  <c:v>8462</c:v>
                </c:pt>
                <c:pt idx="4">
                  <c:v>7940</c:v>
                </c:pt>
                <c:pt idx="5">
                  <c:v>8100</c:v>
                </c:pt>
                <c:pt idx="6">
                  <c:v>6385</c:v>
                </c:pt>
                <c:pt idx="7">
                  <c:v>5827</c:v>
                </c:pt>
                <c:pt idx="8">
                  <c:v>7187</c:v>
                </c:pt>
                <c:pt idx="9">
                  <c:v>8786</c:v>
                </c:pt>
                <c:pt idx="10">
                  <c:v>5262</c:v>
                </c:pt>
                <c:pt idx="11">
                  <c:v>7577</c:v>
                </c:pt>
                <c:pt idx="12">
                  <c:v>9415</c:v>
                </c:pt>
                <c:pt idx="13">
                  <c:v>4066</c:v>
                </c:pt>
                <c:pt idx="14">
                  <c:v>8458</c:v>
                </c:pt>
                <c:pt idx="15">
                  <c:v>5094</c:v>
                </c:pt>
                <c:pt idx="16">
                  <c:v>7404</c:v>
                </c:pt>
                <c:pt idx="17">
                  <c:v>5871</c:v>
                </c:pt>
                <c:pt idx="18">
                  <c:v>9344</c:v>
                </c:pt>
                <c:pt idx="19">
                  <c:v>7519</c:v>
                </c:pt>
                <c:pt idx="20">
                  <c:v>5490</c:v>
                </c:pt>
                <c:pt idx="21">
                  <c:v>6352</c:v>
                </c:pt>
                <c:pt idx="22">
                  <c:v>7553</c:v>
                </c:pt>
                <c:pt idx="23">
                  <c:v>7030</c:v>
                </c:pt>
                <c:pt idx="24">
                  <c:v>5482</c:v>
                </c:pt>
                <c:pt idx="25">
                  <c:v>8976</c:v>
                </c:pt>
                <c:pt idx="26">
                  <c:v>8334</c:v>
                </c:pt>
                <c:pt idx="27">
                  <c:v>5412</c:v>
                </c:pt>
                <c:pt idx="28">
                  <c:v>5895</c:v>
                </c:pt>
                <c:pt idx="29">
                  <c:v>7046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3A-4DAB-9DE2-314687FCA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Date</a:t>
                </a:r>
              </a:p>
            </c:rich>
          </c:tx>
          <c:overlay val="1"/>
        </c:title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Steps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Weekly Workout Minutes</a:t>
            </a:r>
          </a:p>
        </c:rich>
      </c:tx>
      <c:layout>
        <c:manualLayout>
          <c:xMode val="edge"/>
          <c:yMode val="edge"/>
          <c:x val="0.34388226495726498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0.11087301587301587"/>
          <c:w val="0.79456217948717944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'Weekly Summary'!$D$1</c:f>
              <c:strCache>
                <c:ptCount val="1"/>
                <c:pt idx="0">
                  <c:v>Workout Minutes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'Weekly Summary'!$A$2:$A$6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'Weekly Summary'!$D$2:$D$6</c:f>
              <c:numCache>
                <c:formatCode>General</c:formatCode>
                <c:ptCount val="5"/>
                <c:pt idx="0">
                  <c:v>191</c:v>
                </c:pt>
                <c:pt idx="1">
                  <c:v>230</c:v>
                </c:pt>
                <c:pt idx="2">
                  <c:v>266</c:v>
                </c:pt>
                <c:pt idx="3">
                  <c:v>240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5-4C17-A6B9-4F076E61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Minutes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Workout Type Distribution</a:t>
            </a:r>
          </a:p>
        </c:rich>
      </c:tx>
      <c:layout>
        <c:manualLayout>
          <c:xMode val="edge"/>
          <c:yMode val="edge"/>
          <c:x val="0.2720702777777778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766666666666669"/>
          <c:y val="0.11087301587301587"/>
          <c:w val="0.62238888888888888"/>
          <c:h val="0.8891269841269841"/>
        </c:manualLayout>
      </c:layout>
      <c:pieChart>
        <c:varyColors val="1"/>
        <c:ser>
          <c:idx val="0"/>
          <c:order val="0"/>
          <c:tx>
            <c:strRef>
              <c:f>Dashboard!$K$1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Dashboard!$J$2:$J$7</c:f>
              <c:strCache>
                <c:ptCount val="6"/>
                <c:pt idx="0">
                  <c:v>Walking</c:v>
                </c:pt>
                <c:pt idx="1">
                  <c:v>Jogging</c:v>
                </c:pt>
                <c:pt idx="2">
                  <c:v>Cycling</c:v>
                </c:pt>
                <c:pt idx="3">
                  <c:v>Strength</c:v>
                </c:pt>
                <c:pt idx="4">
                  <c:v>Yoga</c:v>
                </c:pt>
                <c:pt idx="5">
                  <c:v>Rest</c:v>
                </c:pt>
              </c:strCache>
            </c:strRef>
          </c:cat>
          <c:val>
            <c:numRef>
              <c:f>Dashboard!$K$2:$K$7</c:f>
              <c:numCache>
                <c:formatCode>General</c:formatCode>
                <c:ptCount val="6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B-43EC-B776-4AD0A172D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Workout Type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818181818181818"/>
          <c:y val="0.11087301587301587"/>
          <c:w val="0.56580808080808076"/>
          <c:h val="0.8891269841269841"/>
        </c:manualLayout>
      </c:layout>
      <c:pieChart>
        <c:varyColors val="1"/>
        <c:ser>
          <c:idx val="0"/>
          <c:order val="0"/>
          <c:tx>
            <c:strRef>
              <c:f>'Workout Analysis'!$B$3</c:f>
              <c:strCache>
                <c:ptCount val="1"/>
                <c:pt idx="0">
                  <c:v>Number of Days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'Workout Analysis'!$A$4:$A$9</c:f>
              <c:strCache>
                <c:ptCount val="6"/>
                <c:pt idx="0">
                  <c:v>Walking</c:v>
                </c:pt>
                <c:pt idx="1">
                  <c:v>Jogging</c:v>
                </c:pt>
                <c:pt idx="2">
                  <c:v>Cycling</c:v>
                </c:pt>
                <c:pt idx="3">
                  <c:v>Strength</c:v>
                </c:pt>
                <c:pt idx="4">
                  <c:v>Yoga</c:v>
                </c:pt>
                <c:pt idx="5">
                  <c:v>Rest</c:v>
                </c:pt>
              </c:strCache>
            </c:strRef>
          </c:cat>
          <c:val>
            <c:numRef>
              <c:f>'Workout Analysis'!$B$4:$B$9</c:f>
              <c:numCache>
                <c:formatCode>General</c:formatCode>
                <c:ptCount val="6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7-46AD-A6CA-363B9C0B2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14</xdr:row>
      <xdr:rowOff>15240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zoomScale="85"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15" customWidth="1"/>
    <col min="2" max="2" width="13" customWidth="1"/>
    <col min="3" max="3" width="11" customWidth="1"/>
    <col min="4" max="4" width="18" customWidth="1"/>
    <col min="5" max="5" width="23" customWidth="1"/>
    <col min="6" max="7" width="18" customWidth="1"/>
    <col min="8" max="9" width="12" customWidth="1"/>
    <col min="10" max="10" width="18" customWidth="1"/>
    <col min="11" max="11" width="13" customWidth="1"/>
    <col min="12" max="12" width="2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46266</v>
      </c>
      <c r="B2" s="3" t="s">
        <v>12</v>
      </c>
      <c r="C2" s="3">
        <v>7253</v>
      </c>
      <c r="D2" s="3" t="s">
        <v>13</v>
      </c>
      <c r="E2" s="3">
        <v>25</v>
      </c>
      <c r="F2" s="3">
        <v>80</v>
      </c>
      <c r="G2" s="3">
        <v>2025</v>
      </c>
      <c r="H2" s="3">
        <v>2.1</v>
      </c>
      <c r="I2" s="3">
        <v>7.8</v>
      </c>
      <c r="J2" s="3" t="s">
        <v>14</v>
      </c>
      <c r="K2" s="3">
        <v>52</v>
      </c>
      <c r="L2" s="3">
        <v>4</v>
      </c>
    </row>
    <row r="3" spans="1:12" x14ac:dyDescent="0.3">
      <c r="A3" s="2">
        <v>46267</v>
      </c>
      <c r="B3" s="3" t="s">
        <v>15</v>
      </c>
      <c r="C3" s="3">
        <v>5767</v>
      </c>
      <c r="D3" s="3" t="s">
        <v>13</v>
      </c>
      <c r="E3" s="3">
        <v>25</v>
      </c>
      <c r="F3" s="3">
        <v>80</v>
      </c>
      <c r="G3" s="3">
        <v>2011</v>
      </c>
      <c r="H3" s="3">
        <v>2.1</v>
      </c>
      <c r="I3" s="3">
        <v>7.6</v>
      </c>
      <c r="J3" s="3" t="s">
        <v>16</v>
      </c>
      <c r="K3" s="3">
        <v>52</v>
      </c>
      <c r="L3" s="3">
        <v>3.9</v>
      </c>
    </row>
    <row r="4" spans="1:12" x14ac:dyDescent="0.3">
      <c r="A4" s="2">
        <v>46268</v>
      </c>
      <c r="B4" s="3" t="s">
        <v>17</v>
      </c>
      <c r="C4" s="3">
        <v>6805</v>
      </c>
      <c r="D4" s="3" t="s">
        <v>18</v>
      </c>
      <c r="E4" s="3">
        <v>38</v>
      </c>
      <c r="F4" s="3">
        <v>106</v>
      </c>
      <c r="G4" s="3">
        <v>2129</v>
      </c>
      <c r="H4" s="3">
        <v>2.5</v>
      </c>
      <c r="I4" s="3">
        <v>8</v>
      </c>
      <c r="J4" s="3" t="s">
        <v>14</v>
      </c>
      <c r="K4" s="3">
        <v>52.1</v>
      </c>
      <c r="L4" s="3">
        <v>4.2</v>
      </c>
    </row>
    <row r="5" spans="1:12" x14ac:dyDescent="0.3">
      <c r="A5" s="2">
        <v>46269</v>
      </c>
      <c r="B5" s="3" t="s">
        <v>19</v>
      </c>
      <c r="C5" s="3">
        <v>8462</v>
      </c>
      <c r="D5" s="3" t="s">
        <v>20</v>
      </c>
      <c r="E5" s="3">
        <v>47</v>
      </c>
      <c r="F5" s="3">
        <v>244</v>
      </c>
      <c r="G5" s="3">
        <v>2074</v>
      </c>
      <c r="H5" s="3">
        <v>2.1</v>
      </c>
      <c r="I5" s="3">
        <v>6.8</v>
      </c>
      <c r="J5" s="3" t="s">
        <v>21</v>
      </c>
      <c r="K5" s="3">
        <v>52</v>
      </c>
      <c r="L5" s="3">
        <v>3.6</v>
      </c>
    </row>
    <row r="6" spans="1:12" x14ac:dyDescent="0.3">
      <c r="A6" s="2">
        <v>46270</v>
      </c>
      <c r="B6" s="3" t="s">
        <v>22</v>
      </c>
      <c r="C6" s="3">
        <v>7940</v>
      </c>
      <c r="D6" s="3" t="s">
        <v>23</v>
      </c>
      <c r="E6" s="3">
        <v>28</v>
      </c>
      <c r="F6" s="3">
        <v>112</v>
      </c>
      <c r="G6" s="3">
        <v>2333</v>
      </c>
      <c r="H6" s="3">
        <v>2.2000000000000002</v>
      </c>
      <c r="I6" s="3">
        <v>6.9</v>
      </c>
      <c r="J6" s="3" t="s">
        <v>14</v>
      </c>
      <c r="K6" s="3">
        <v>52</v>
      </c>
      <c r="L6" s="3">
        <v>3.7</v>
      </c>
    </row>
    <row r="7" spans="1:12" x14ac:dyDescent="0.3">
      <c r="A7" s="2">
        <v>46271</v>
      </c>
      <c r="B7" s="3" t="s">
        <v>24</v>
      </c>
      <c r="C7" s="3">
        <v>8100</v>
      </c>
      <c r="D7" s="3" t="s">
        <v>18</v>
      </c>
      <c r="E7" s="3">
        <v>28</v>
      </c>
      <c r="F7" s="3">
        <v>78</v>
      </c>
      <c r="G7" s="3">
        <v>1940</v>
      </c>
      <c r="H7" s="3">
        <v>2.5</v>
      </c>
      <c r="I7" s="3">
        <v>8</v>
      </c>
      <c r="J7" s="3" t="s">
        <v>21</v>
      </c>
      <c r="K7" s="3">
        <v>52</v>
      </c>
      <c r="L7" s="3">
        <v>4.2</v>
      </c>
    </row>
    <row r="8" spans="1:12" x14ac:dyDescent="0.3">
      <c r="A8" s="2">
        <v>46272</v>
      </c>
      <c r="B8" s="3" t="s">
        <v>25</v>
      </c>
      <c r="C8" s="3">
        <v>6385</v>
      </c>
      <c r="D8" s="3" t="s">
        <v>26</v>
      </c>
      <c r="E8" s="3">
        <v>0</v>
      </c>
      <c r="F8" s="3">
        <v>0</v>
      </c>
      <c r="G8" s="3">
        <v>1935</v>
      </c>
      <c r="H8" s="3">
        <v>1.9</v>
      </c>
      <c r="I8" s="3">
        <v>6.8</v>
      </c>
      <c r="J8" s="3" t="s">
        <v>21</v>
      </c>
      <c r="K8" s="3">
        <v>52.1</v>
      </c>
      <c r="L8" s="3">
        <v>3.6</v>
      </c>
    </row>
    <row r="9" spans="1:12" x14ac:dyDescent="0.3">
      <c r="A9" s="2">
        <v>46273</v>
      </c>
      <c r="B9" s="3" t="s">
        <v>12</v>
      </c>
      <c r="C9" s="3">
        <v>5827</v>
      </c>
      <c r="D9" s="3" t="s">
        <v>20</v>
      </c>
      <c r="E9" s="3">
        <v>52</v>
      </c>
      <c r="F9" s="3">
        <v>270</v>
      </c>
      <c r="G9" s="3">
        <v>2094</v>
      </c>
      <c r="H9" s="3">
        <v>2.1</v>
      </c>
      <c r="I9" s="3">
        <v>7.6</v>
      </c>
      <c r="J9" s="3" t="s">
        <v>21</v>
      </c>
      <c r="K9" s="3">
        <v>52</v>
      </c>
      <c r="L9" s="3">
        <v>3.9</v>
      </c>
    </row>
    <row r="10" spans="1:12" x14ac:dyDescent="0.3">
      <c r="A10" s="2">
        <v>46274</v>
      </c>
      <c r="B10" s="3" t="s">
        <v>15</v>
      </c>
      <c r="C10" s="3">
        <v>7187</v>
      </c>
      <c r="D10" s="3" t="s">
        <v>27</v>
      </c>
      <c r="E10" s="3">
        <v>31</v>
      </c>
      <c r="F10" s="3">
        <v>161</v>
      </c>
      <c r="G10" s="3">
        <v>2259</v>
      </c>
      <c r="H10" s="3">
        <v>2.9</v>
      </c>
      <c r="I10" s="3">
        <v>7.7</v>
      </c>
      <c r="J10" s="3" t="s">
        <v>16</v>
      </c>
      <c r="K10" s="3">
        <v>52</v>
      </c>
      <c r="L10" s="3">
        <v>4.2</v>
      </c>
    </row>
    <row r="11" spans="1:12" x14ac:dyDescent="0.3">
      <c r="A11" s="2">
        <v>46275</v>
      </c>
      <c r="B11" s="3" t="s">
        <v>17</v>
      </c>
      <c r="C11" s="3">
        <v>8786</v>
      </c>
      <c r="D11" s="3" t="s">
        <v>20</v>
      </c>
      <c r="E11" s="3">
        <v>30</v>
      </c>
      <c r="F11" s="3">
        <v>156</v>
      </c>
      <c r="G11" s="3">
        <v>2094</v>
      </c>
      <c r="H11" s="3">
        <v>2.1</v>
      </c>
      <c r="I11" s="3">
        <v>8.1999999999999993</v>
      </c>
      <c r="J11" s="3" t="s">
        <v>16</v>
      </c>
      <c r="K11" s="3">
        <v>52</v>
      </c>
      <c r="L11" s="3">
        <v>4.0999999999999996</v>
      </c>
    </row>
    <row r="12" spans="1:12" x14ac:dyDescent="0.3">
      <c r="A12" s="2">
        <v>46276</v>
      </c>
      <c r="B12" s="3" t="s">
        <v>19</v>
      </c>
      <c r="C12" s="3">
        <v>5262</v>
      </c>
      <c r="D12" s="3" t="s">
        <v>13</v>
      </c>
      <c r="E12" s="3">
        <v>32</v>
      </c>
      <c r="F12" s="3">
        <v>102</v>
      </c>
      <c r="G12" s="3">
        <v>2312</v>
      </c>
      <c r="H12" s="3">
        <v>2.2000000000000002</v>
      </c>
      <c r="I12" s="3">
        <v>6.9</v>
      </c>
      <c r="J12" s="3" t="s">
        <v>16</v>
      </c>
      <c r="K12" s="3">
        <v>52</v>
      </c>
      <c r="L12" s="3">
        <v>3.7</v>
      </c>
    </row>
    <row r="13" spans="1:12" x14ac:dyDescent="0.3">
      <c r="A13" s="2">
        <v>46277</v>
      </c>
      <c r="B13" s="3" t="s">
        <v>22</v>
      </c>
      <c r="C13" s="3">
        <v>7577</v>
      </c>
      <c r="D13" s="3" t="s">
        <v>18</v>
      </c>
      <c r="E13" s="3">
        <v>53</v>
      </c>
      <c r="F13" s="3">
        <v>148</v>
      </c>
      <c r="G13" s="3">
        <v>2008</v>
      </c>
      <c r="H13" s="3">
        <v>2.6</v>
      </c>
      <c r="I13" s="3">
        <v>7.1</v>
      </c>
      <c r="J13" s="3" t="s">
        <v>28</v>
      </c>
      <c r="K13" s="3">
        <v>51.9</v>
      </c>
      <c r="L13" s="3">
        <v>3.9</v>
      </c>
    </row>
    <row r="14" spans="1:12" x14ac:dyDescent="0.3">
      <c r="A14" s="2">
        <v>46278</v>
      </c>
      <c r="B14" s="3" t="s">
        <v>24</v>
      </c>
      <c r="C14" s="3">
        <v>9415</v>
      </c>
      <c r="D14" s="3" t="s">
        <v>20</v>
      </c>
      <c r="E14" s="3">
        <v>32</v>
      </c>
      <c r="F14" s="3">
        <v>166</v>
      </c>
      <c r="G14" s="3">
        <v>2034</v>
      </c>
      <c r="H14" s="3">
        <v>2.7</v>
      </c>
      <c r="I14" s="3">
        <v>7.2</v>
      </c>
      <c r="J14" s="3" t="s">
        <v>28</v>
      </c>
      <c r="K14" s="3">
        <v>51.9</v>
      </c>
      <c r="L14" s="3">
        <v>4</v>
      </c>
    </row>
    <row r="15" spans="1:12" x14ac:dyDescent="0.3">
      <c r="A15" s="2">
        <v>46279</v>
      </c>
      <c r="B15" s="3" t="s">
        <v>25</v>
      </c>
      <c r="C15" s="3">
        <v>4066</v>
      </c>
      <c r="D15" s="3" t="s">
        <v>26</v>
      </c>
      <c r="E15" s="3">
        <v>0</v>
      </c>
      <c r="F15" s="3">
        <v>0</v>
      </c>
      <c r="G15" s="3">
        <v>2160</v>
      </c>
      <c r="H15" s="3">
        <v>2.4</v>
      </c>
      <c r="I15" s="3">
        <v>7.9</v>
      </c>
      <c r="J15" s="3" t="s">
        <v>14</v>
      </c>
      <c r="K15" s="3">
        <v>51.8</v>
      </c>
      <c r="L15" s="3">
        <v>4.0999999999999996</v>
      </c>
    </row>
    <row r="16" spans="1:12" x14ac:dyDescent="0.3">
      <c r="A16" s="2">
        <v>46280</v>
      </c>
      <c r="B16" s="3" t="s">
        <v>12</v>
      </c>
      <c r="C16" s="3">
        <v>8458</v>
      </c>
      <c r="D16" s="3" t="s">
        <v>20</v>
      </c>
      <c r="E16" s="3">
        <v>50</v>
      </c>
      <c r="F16" s="3">
        <v>260</v>
      </c>
      <c r="G16" s="3">
        <v>2205</v>
      </c>
      <c r="H16" s="3">
        <v>1.9</v>
      </c>
      <c r="I16" s="3">
        <v>7.1</v>
      </c>
      <c r="J16" s="3" t="s">
        <v>28</v>
      </c>
      <c r="K16" s="3">
        <v>51.8</v>
      </c>
      <c r="L16" s="3">
        <v>3.7</v>
      </c>
    </row>
    <row r="17" spans="1:12" x14ac:dyDescent="0.3">
      <c r="A17" s="2">
        <v>46281</v>
      </c>
      <c r="B17" s="3" t="s">
        <v>15</v>
      </c>
      <c r="C17" s="3">
        <v>5094</v>
      </c>
      <c r="D17" s="3" t="s">
        <v>18</v>
      </c>
      <c r="E17" s="3">
        <v>52</v>
      </c>
      <c r="F17" s="3">
        <v>146</v>
      </c>
      <c r="G17" s="3">
        <v>2248</v>
      </c>
      <c r="H17" s="3">
        <v>2.7</v>
      </c>
      <c r="I17" s="3">
        <v>7.7</v>
      </c>
      <c r="J17" s="3" t="s">
        <v>21</v>
      </c>
      <c r="K17" s="3">
        <v>51.8</v>
      </c>
      <c r="L17" s="3">
        <v>4.0999999999999996</v>
      </c>
    </row>
    <row r="18" spans="1:12" x14ac:dyDescent="0.3">
      <c r="A18" s="2">
        <v>46282</v>
      </c>
      <c r="B18" s="3" t="s">
        <v>17</v>
      </c>
      <c r="C18" s="3">
        <v>7404</v>
      </c>
      <c r="D18" s="3" t="s">
        <v>27</v>
      </c>
      <c r="E18" s="3">
        <v>28</v>
      </c>
      <c r="F18" s="3">
        <v>146</v>
      </c>
      <c r="G18" s="3">
        <v>2122</v>
      </c>
      <c r="H18" s="3">
        <v>2</v>
      </c>
      <c r="I18" s="3">
        <v>6.3</v>
      </c>
      <c r="J18" s="3" t="s">
        <v>21</v>
      </c>
      <c r="K18" s="3">
        <v>51.9</v>
      </c>
      <c r="L18" s="3">
        <v>3.4</v>
      </c>
    </row>
    <row r="19" spans="1:12" x14ac:dyDescent="0.3">
      <c r="A19" s="2">
        <v>46283</v>
      </c>
      <c r="B19" s="3" t="s">
        <v>19</v>
      </c>
      <c r="C19" s="3">
        <v>5871</v>
      </c>
      <c r="D19" s="3" t="s">
        <v>20</v>
      </c>
      <c r="E19" s="3">
        <v>41</v>
      </c>
      <c r="F19" s="3">
        <v>213</v>
      </c>
      <c r="G19" s="3">
        <v>2345</v>
      </c>
      <c r="H19" s="3">
        <v>2.6</v>
      </c>
      <c r="I19" s="3">
        <v>8.1</v>
      </c>
      <c r="J19" s="3" t="s">
        <v>16</v>
      </c>
      <c r="K19" s="3">
        <v>51.8</v>
      </c>
      <c r="L19" s="3">
        <v>4.2</v>
      </c>
    </row>
    <row r="20" spans="1:12" x14ac:dyDescent="0.3">
      <c r="A20" s="2">
        <v>46284</v>
      </c>
      <c r="B20" s="3" t="s">
        <v>22</v>
      </c>
      <c r="C20" s="3">
        <v>9344</v>
      </c>
      <c r="D20" s="3" t="s">
        <v>20</v>
      </c>
      <c r="E20" s="3">
        <v>42</v>
      </c>
      <c r="F20" s="3">
        <v>218</v>
      </c>
      <c r="G20" s="3">
        <v>2370</v>
      </c>
      <c r="H20" s="3">
        <v>1.8</v>
      </c>
      <c r="I20" s="3">
        <v>7</v>
      </c>
      <c r="J20" s="3" t="s">
        <v>14</v>
      </c>
      <c r="K20" s="3">
        <v>51.7</v>
      </c>
      <c r="L20" s="3">
        <v>3.6</v>
      </c>
    </row>
    <row r="21" spans="1:12" x14ac:dyDescent="0.3">
      <c r="A21" s="2">
        <v>46285</v>
      </c>
      <c r="B21" s="3" t="s">
        <v>24</v>
      </c>
      <c r="C21" s="3">
        <v>7519</v>
      </c>
      <c r="D21" s="3" t="s">
        <v>27</v>
      </c>
      <c r="E21" s="3">
        <v>53</v>
      </c>
      <c r="F21" s="3">
        <v>276</v>
      </c>
      <c r="G21" s="3">
        <v>2022</v>
      </c>
      <c r="H21" s="3">
        <v>1.9</v>
      </c>
      <c r="I21" s="3">
        <v>8.1</v>
      </c>
      <c r="J21" s="3" t="s">
        <v>14</v>
      </c>
      <c r="K21" s="3">
        <v>51.6</v>
      </c>
      <c r="L21" s="3">
        <v>4</v>
      </c>
    </row>
    <row r="22" spans="1:12" x14ac:dyDescent="0.3">
      <c r="A22" s="2">
        <v>46286</v>
      </c>
      <c r="B22" s="3" t="s">
        <v>25</v>
      </c>
      <c r="C22" s="3">
        <v>5490</v>
      </c>
      <c r="D22" s="3" t="s">
        <v>26</v>
      </c>
      <c r="E22" s="3">
        <v>0</v>
      </c>
      <c r="F22" s="3">
        <v>0</v>
      </c>
      <c r="G22" s="3">
        <v>2317</v>
      </c>
      <c r="H22" s="3">
        <v>1.9</v>
      </c>
      <c r="I22" s="3">
        <v>7.9</v>
      </c>
      <c r="J22" s="3" t="s">
        <v>16</v>
      </c>
      <c r="K22" s="3">
        <v>51.5</v>
      </c>
      <c r="L22" s="3">
        <v>4</v>
      </c>
    </row>
    <row r="23" spans="1:12" x14ac:dyDescent="0.3">
      <c r="A23" s="2">
        <v>46287</v>
      </c>
      <c r="B23" s="3" t="s">
        <v>12</v>
      </c>
      <c r="C23" s="3">
        <v>6352</v>
      </c>
      <c r="D23" s="3" t="s">
        <v>23</v>
      </c>
      <c r="E23" s="3">
        <v>55</v>
      </c>
      <c r="F23" s="3">
        <v>220</v>
      </c>
      <c r="G23" s="3">
        <v>2035</v>
      </c>
      <c r="H23" s="3">
        <v>2.4</v>
      </c>
      <c r="I23" s="3">
        <v>7.6</v>
      </c>
      <c r="J23" s="3" t="s">
        <v>16</v>
      </c>
      <c r="K23" s="3">
        <v>51.6</v>
      </c>
      <c r="L23" s="3">
        <v>4</v>
      </c>
    </row>
    <row r="24" spans="1:12" x14ac:dyDescent="0.3">
      <c r="A24" s="2">
        <v>46288</v>
      </c>
      <c r="B24" s="3" t="s">
        <v>15</v>
      </c>
      <c r="C24" s="3">
        <v>7553</v>
      </c>
      <c r="D24" s="3" t="s">
        <v>20</v>
      </c>
      <c r="E24" s="3">
        <v>47</v>
      </c>
      <c r="F24" s="3">
        <v>244</v>
      </c>
      <c r="G24" s="3">
        <v>2104</v>
      </c>
      <c r="H24" s="3">
        <v>3</v>
      </c>
      <c r="I24" s="3">
        <v>7.7</v>
      </c>
      <c r="J24" s="3" t="s">
        <v>28</v>
      </c>
      <c r="K24" s="3">
        <v>51.6</v>
      </c>
      <c r="L24" s="3">
        <v>4.2</v>
      </c>
    </row>
    <row r="25" spans="1:12" x14ac:dyDescent="0.3">
      <c r="A25" s="2">
        <v>46289</v>
      </c>
      <c r="B25" s="3" t="s">
        <v>17</v>
      </c>
      <c r="C25" s="3">
        <v>7030</v>
      </c>
      <c r="D25" s="3" t="s">
        <v>23</v>
      </c>
      <c r="E25" s="3">
        <v>28</v>
      </c>
      <c r="F25" s="3">
        <v>112</v>
      </c>
      <c r="G25" s="3">
        <v>2015</v>
      </c>
      <c r="H25" s="3">
        <v>1.9</v>
      </c>
      <c r="I25" s="3">
        <v>6.3</v>
      </c>
      <c r="J25" s="3" t="s">
        <v>16</v>
      </c>
      <c r="K25" s="3">
        <v>51.6</v>
      </c>
      <c r="L25" s="3">
        <v>3.4</v>
      </c>
    </row>
    <row r="26" spans="1:12" x14ac:dyDescent="0.3">
      <c r="A26" s="2">
        <v>46290</v>
      </c>
      <c r="B26" s="3" t="s">
        <v>19</v>
      </c>
      <c r="C26" s="3">
        <v>5482</v>
      </c>
      <c r="D26" s="3" t="s">
        <v>13</v>
      </c>
      <c r="E26" s="3">
        <v>27</v>
      </c>
      <c r="F26" s="3">
        <v>86</v>
      </c>
      <c r="G26" s="3">
        <v>2017</v>
      </c>
      <c r="H26" s="3">
        <v>1.9</v>
      </c>
      <c r="I26" s="3">
        <v>6.4</v>
      </c>
      <c r="J26" s="3" t="s">
        <v>21</v>
      </c>
      <c r="K26" s="3">
        <v>51.5</v>
      </c>
      <c r="L26" s="3">
        <v>3.4</v>
      </c>
    </row>
    <row r="27" spans="1:12" x14ac:dyDescent="0.3">
      <c r="A27" s="2">
        <v>46291</v>
      </c>
      <c r="B27" s="3" t="s">
        <v>22</v>
      </c>
      <c r="C27" s="3">
        <v>8976</v>
      </c>
      <c r="D27" s="3" t="s">
        <v>20</v>
      </c>
      <c r="E27" s="3">
        <v>33</v>
      </c>
      <c r="F27" s="3">
        <v>172</v>
      </c>
      <c r="G27" s="3">
        <v>2009</v>
      </c>
      <c r="H27" s="3">
        <v>2.4</v>
      </c>
      <c r="I27" s="3">
        <v>7.8</v>
      </c>
      <c r="J27" s="3" t="s">
        <v>28</v>
      </c>
      <c r="K27" s="3">
        <v>51.5</v>
      </c>
      <c r="L27" s="3">
        <v>4.0999999999999996</v>
      </c>
    </row>
    <row r="28" spans="1:12" x14ac:dyDescent="0.3">
      <c r="A28" s="2">
        <v>46292</v>
      </c>
      <c r="B28" s="3" t="s">
        <v>24</v>
      </c>
      <c r="C28" s="3">
        <v>8334</v>
      </c>
      <c r="D28" s="3" t="s">
        <v>23</v>
      </c>
      <c r="E28" s="3">
        <v>50</v>
      </c>
      <c r="F28" s="3">
        <v>200</v>
      </c>
      <c r="G28" s="3">
        <v>1997</v>
      </c>
      <c r="H28" s="3">
        <v>1.9</v>
      </c>
      <c r="I28" s="3">
        <v>7.7</v>
      </c>
      <c r="J28" s="3" t="s">
        <v>21</v>
      </c>
      <c r="K28" s="3">
        <v>51.4</v>
      </c>
      <c r="L28" s="3">
        <v>3.9</v>
      </c>
    </row>
    <row r="29" spans="1:12" x14ac:dyDescent="0.3">
      <c r="A29" s="2">
        <v>46293</v>
      </c>
      <c r="B29" s="3" t="s">
        <v>25</v>
      </c>
      <c r="C29" s="3">
        <v>5412</v>
      </c>
      <c r="D29" s="3" t="s">
        <v>26</v>
      </c>
      <c r="E29" s="3">
        <v>0</v>
      </c>
      <c r="F29" s="3">
        <v>0</v>
      </c>
      <c r="G29" s="3">
        <v>2342</v>
      </c>
      <c r="H29" s="3">
        <v>2.7</v>
      </c>
      <c r="I29" s="3">
        <v>7.7</v>
      </c>
      <c r="J29" s="3" t="s">
        <v>14</v>
      </c>
      <c r="K29" s="3">
        <v>51.3</v>
      </c>
      <c r="L29" s="3">
        <v>4.0999999999999996</v>
      </c>
    </row>
    <row r="30" spans="1:12" x14ac:dyDescent="0.3">
      <c r="A30" s="2">
        <v>46294</v>
      </c>
      <c r="B30" s="3" t="s">
        <v>12</v>
      </c>
      <c r="C30" s="3">
        <v>5895</v>
      </c>
      <c r="D30" s="3" t="s">
        <v>27</v>
      </c>
      <c r="E30" s="3">
        <v>50</v>
      </c>
      <c r="F30" s="3">
        <v>260</v>
      </c>
      <c r="G30" s="3">
        <v>2027</v>
      </c>
      <c r="H30" s="3">
        <v>2</v>
      </c>
      <c r="I30" s="3">
        <v>7.4</v>
      </c>
      <c r="J30" s="3" t="s">
        <v>16</v>
      </c>
      <c r="K30" s="3">
        <v>51.3</v>
      </c>
      <c r="L30" s="3">
        <v>3.8</v>
      </c>
    </row>
    <row r="31" spans="1:12" x14ac:dyDescent="0.3">
      <c r="A31" s="2">
        <v>46295</v>
      </c>
      <c r="B31" s="3" t="s">
        <v>15</v>
      </c>
      <c r="C31" s="3">
        <v>7046</v>
      </c>
      <c r="D31" s="3" t="s">
        <v>27</v>
      </c>
      <c r="E31" s="3">
        <v>39</v>
      </c>
      <c r="F31" s="3">
        <v>203</v>
      </c>
      <c r="G31" s="3">
        <v>2347</v>
      </c>
      <c r="H31" s="3">
        <v>2.9</v>
      </c>
      <c r="I31" s="3">
        <v>7.2</v>
      </c>
      <c r="J31" s="3" t="s">
        <v>14</v>
      </c>
      <c r="K31" s="3">
        <v>51.2</v>
      </c>
      <c r="L31" s="3">
        <v>4</v>
      </c>
    </row>
  </sheetData>
  <autoFilter ref="A1:L31" xr:uid="{00000000-0009-0000-0000-000000000000}"/>
  <conditionalFormatting sqref="C2:C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qref="D2:D1000" xr:uid="{00000000-0002-0000-0000-000000000000}">
      <formula1>"Walking,Jogging,Cycling,Strength,Yoga,Rest"</formula1>
    </dataValidation>
    <dataValidation type="list" allowBlank="1" sqref="J2:J1000" xr:uid="{00000000-0002-0000-0000-000001000000}">
      <formula1>"Balanced,High-carb,High-protein,Light,Needs Improvement"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E19" sqref="E19"/>
    </sheetView>
  </sheetViews>
  <sheetFormatPr defaultRowHeight="14.4" x14ac:dyDescent="0.3"/>
  <cols>
    <col min="1" max="1" width="12" customWidth="1"/>
    <col min="2" max="3" width="16" customWidth="1"/>
    <col min="4" max="4" width="18" customWidth="1"/>
    <col min="5" max="5" width="20" customWidth="1"/>
    <col min="6" max="8" width="16" customWidth="1"/>
    <col min="9" max="9" width="20" customWidth="1"/>
  </cols>
  <sheetData>
    <row r="1" spans="1:9" x14ac:dyDescent="0.3">
      <c r="A1" s="4" t="s">
        <v>29</v>
      </c>
      <c r="B1" s="4" t="s">
        <v>30</v>
      </c>
      <c r="C1" s="4" t="s">
        <v>31</v>
      </c>
      <c r="D1" s="4" t="s">
        <v>32</v>
      </c>
      <c r="E1" s="4" t="s">
        <v>5</v>
      </c>
      <c r="F1" s="4" t="s">
        <v>33</v>
      </c>
      <c r="G1" s="4" t="s">
        <v>34</v>
      </c>
      <c r="H1" s="4" t="s">
        <v>35</v>
      </c>
      <c r="I1" s="5" t="s">
        <v>36</v>
      </c>
    </row>
    <row r="2" spans="1:9" x14ac:dyDescent="0.3">
      <c r="A2" s="3" t="s">
        <v>37</v>
      </c>
      <c r="B2" s="3">
        <f>SUM('Daily Tracker'!C2:C8)</f>
        <v>50712</v>
      </c>
      <c r="C2" s="3">
        <f>AVERAGE('Daily Tracker'!C2:C8)</f>
        <v>7244.5714285714284</v>
      </c>
      <c r="D2" s="3">
        <f>SUM('Daily Tracker'!E2:E8)</f>
        <v>191</v>
      </c>
      <c r="E2" s="3">
        <f>SUM('Daily Tracker'!F2:F8)</f>
        <v>700</v>
      </c>
      <c r="F2" s="3">
        <f>AVERAGE('Daily Tracker'!H2:H8)</f>
        <v>2.2000000000000002</v>
      </c>
      <c r="G2" s="3">
        <f>AVERAGE('Daily Tracker'!I2:I8)</f>
        <v>7.4142857142857137</v>
      </c>
      <c r="H2" s="3">
        <f>AVERAGE('Daily Tracker'!K2:K8)</f>
        <v>52.028571428571432</v>
      </c>
      <c r="I2" s="13">
        <f>AVERAGE('Daily Tracker'!L2:L8)</f>
        <v>3.8857142857142861</v>
      </c>
    </row>
    <row r="3" spans="1:9" x14ac:dyDescent="0.3">
      <c r="A3" s="3" t="s">
        <v>38</v>
      </c>
      <c r="B3" s="3">
        <f>SUM('Daily Tracker'!C9:C15)</f>
        <v>48120</v>
      </c>
      <c r="C3" s="3">
        <f>AVERAGE('Daily Tracker'!C9:C15)</f>
        <v>6874.2857142857147</v>
      </c>
      <c r="D3" s="3">
        <f>SUM('Daily Tracker'!E9:E15)</f>
        <v>230</v>
      </c>
      <c r="E3" s="3">
        <f>SUM('Daily Tracker'!F9:F15)</f>
        <v>1003</v>
      </c>
      <c r="F3" s="3">
        <f>AVERAGE('Daily Tracker'!H9:H15)</f>
        <v>2.4285714285714284</v>
      </c>
      <c r="G3" s="3">
        <f>AVERAGE('Daily Tracker'!I9:I15)</f>
        <v>7.5142857142857142</v>
      </c>
      <c r="H3" s="3">
        <f>AVERAGE('Daily Tracker'!K9:K15)</f>
        <v>51.942857142857136</v>
      </c>
      <c r="I3" s="13">
        <f>AVERAGE('Daily Tracker'!L9:L15)</f>
        <v>3.9857142857142853</v>
      </c>
    </row>
    <row r="4" spans="1:9" x14ac:dyDescent="0.3">
      <c r="A4" s="3" t="s">
        <v>39</v>
      </c>
      <c r="B4" s="3">
        <f>SUM('Daily Tracker'!C16:C22)</f>
        <v>49180</v>
      </c>
      <c r="C4" s="3">
        <f>AVERAGE('Daily Tracker'!C16:C22)</f>
        <v>7025.7142857142853</v>
      </c>
      <c r="D4" s="3">
        <f>SUM('Daily Tracker'!E16:E22)</f>
        <v>266</v>
      </c>
      <c r="E4" s="3">
        <f>SUM('Daily Tracker'!F16:F22)</f>
        <v>1259</v>
      </c>
      <c r="F4" s="3">
        <f>AVERAGE('Daily Tracker'!H16:H22)</f>
        <v>2.1142857142857143</v>
      </c>
      <c r="G4" s="3">
        <f>AVERAGE('Daily Tracker'!I16:I22)</f>
        <v>7.4571428571428573</v>
      </c>
      <c r="H4" s="3">
        <f>AVERAGE('Daily Tracker'!K16:K22)</f>
        <v>51.728571428571435</v>
      </c>
      <c r="I4" s="13">
        <f>AVERAGE('Daily Tracker'!L16:L22)</f>
        <v>3.8571428571428572</v>
      </c>
    </row>
    <row r="5" spans="1:9" x14ac:dyDescent="0.3">
      <c r="A5" s="3" t="s">
        <v>40</v>
      </c>
      <c r="B5" s="3">
        <f>SUM('Daily Tracker'!C23:C29)</f>
        <v>49139</v>
      </c>
      <c r="C5" s="3">
        <f>AVERAGE('Daily Tracker'!C23:C29)</f>
        <v>7019.8571428571431</v>
      </c>
      <c r="D5" s="3">
        <f>SUM('Daily Tracker'!E23:E29)</f>
        <v>240</v>
      </c>
      <c r="E5" s="3">
        <f>SUM('Daily Tracker'!F23:F29)</f>
        <v>1034</v>
      </c>
      <c r="F5" s="3">
        <f>AVERAGE('Daily Tracker'!H23:H29)</f>
        <v>2.3142857142857145</v>
      </c>
      <c r="G5" s="3">
        <f>AVERAGE('Daily Tracker'!I23:I29)</f>
        <v>7.3142857142857149</v>
      </c>
      <c r="H5" s="3">
        <f>AVERAGE('Daily Tracker'!K23:K29)</f>
        <v>51.5</v>
      </c>
      <c r="I5" s="13">
        <f>AVERAGE('Daily Tracker'!L23:L29)</f>
        <v>3.8714285714285714</v>
      </c>
    </row>
    <row r="6" spans="1:9" x14ac:dyDescent="0.3">
      <c r="A6" s="3" t="s">
        <v>41</v>
      </c>
      <c r="B6" s="3">
        <f>SUM('Daily Tracker'!C30:C31)</f>
        <v>12941</v>
      </c>
      <c r="C6" s="3">
        <f>AVERAGE('Daily Tracker'!C30:C31)</f>
        <v>6470.5</v>
      </c>
      <c r="D6" s="3">
        <f>SUM('Daily Tracker'!E30:E31)</f>
        <v>89</v>
      </c>
      <c r="E6" s="3">
        <f>SUM('Daily Tracker'!F30:F31)</f>
        <v>463</v>
      </c>
      <c r="F6" s="3">
        <f>AVERAGE('Daily Tracker'!H30:H31)</f>
        <v>2.4500000000000002</v>
      </c>
      <c r="G6" s="3">
        <f>AVERAGE('Daily Tracker'!I30:I31)</f>
        <v>7.3000000000000007</v>
      </c>
      <c r="H6" s="3">
        <f>AVERAGE('Daily Tracker'!K30:K31)</f>
        <v>51.25</v>
      </c>
      <c r="I6" s="13">
        <f>AVERAGE('Daily Tracker'!L30:L31)</f>
        <v>3.9</v>
      </c>
    </row>
  </sheetData>
  <pageMargins left="0.75" right="0.75" top="1" bottom="1" header="0.5" footer="0.5"/>
  <ignoredErrors>
    <ignoredError sqref="B2:I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showGridLines="0" tabSelected="1" workbookViewId="0">
      <selection activeCell="E18" sqref="E18"/>
    </sheetView>
  </sheetViews>
  <sheetFormatPr defaultRowHeight="14.4" x14ac:dyDescent="0.3"/>
  <cols>
    <col min="1" max="1" width="21.109375" customWidth="1"/>
    <col min="2" max="12" width="18" customWidth="1"/>
  </cols>
  <sheetData>
    <row r="1" spans="1:11" ht="25.8" x14ac:dyDescent="0.5">
      <c r="A1" s="6" t="s">
        <v>42</v>
      </c>
      <c r="B1" s="7"/>
      <c r="C1" s="7"/>
      <c r="D1" s="7"/>
      <c r="E1" s="7"/>
      <c r="F1" s="7"/>
      <c r="G1" s="7"/>
      <c r="H1" s="7"/>
      <c r="J1" s="9" t="s">
        <v>3</v>
      </c>
      <c r="K1" s="9" t="s">
        <v>43</v>
      </c>
    </row>
    <row r="2" spans="1:11" x14ac:dyDescent="0.3">
      <c r="J2" s="9" t="s">
        <v>13</v>
      </c>
      <c r="K2" s="9">
        <f>COUNTIF('Daily Tracker'!D2:D31,J2)</f>
        <v>4</v>
      </c>
    </row>
    <row r="3" spans="1:11" x14ac:dyDescent="0.3">
      <c r="A3" t="s">
        <v>44</v>
      </c>
      <c r="B3" t="s">
        <v>45</v>
      </c>
      <c r="J3" s="9" t="s">
        <v>20</v>
      </c>
      <c r="K3" s="9">
        <f>COUNTIF('Daily Tracker'!D2:D31,J3)</f>
        <v>9</v>
      </c>
    </row>
    <row r="4" spans="1:11" x14ac:dyDescent="0.3">
      <c r="J4" s="9" t="s">
        <v>27</v>
      </c>
      <c r="K4" s="9">
        <f>COUNTIF('Daily Tracker'!D2:D31,J4)</f>
        <v>5</v>
      </c>
    </row>
    <row r="5" spans="1:11" ht="19.8" x14ac:dyDescent="0.4">
      <c r="A5" s="12" t="s">
        <v>46</v>
      </c>
      <c r="J5" s="9" t="s">
        <v>23</v>
      </c>
      <c r="K5" s="9">
        <f>COUNTIF('Daily Tracker'!D2:D31,J5)</f>
        <v>4</v>
      </c>
    </row>
    <row r="6" spans="1:11" ht="15.6" x14ac:dyDescent="0.3">
      <c r="A6" s="11" t="s">
        <v>30</v>
      </c>
      <c r="B6" s="10">
        <f>SUM('Daily Tracker'!C2:C31)</f>
        <v>210092</v>
      </c>
      <c r="J6" s="9" t="s">
        <v>18</v>
      </c>
      <c r="K6" s="9">
        <f>COUNTIF('Daily Tracker'!D2:D31,J6)</f>
        <v>4</v>
      </c>
    </row>
    <row r="7" spans="1:11" ht="15.6" x14ac:dyDescent="0.3">
      <c r="A7" s="11" t="s">
        <v>47</v>
      </c>
      <c r="B7" s="10">
        <f>SUM('Daily Tracker'!E2:E31)</f>
        <v>1016</v>
      </c>
      <c r="J7" s="9" t="s">
        <v>26</v>
      </c>
      <c r="K7" s="9">
        <f>COUNTIF('Daily Tracker'!D2:D31,J7)</f>
        <v>4</v>
      </c>
    </row>
    <row r="8" spans="1:11" ht="15.6" x14ac:dyDescent="0.3">
      <c r="A8" s="11" t="s">
        <v>5</v>
      </c>
      <c r="B8" s="10">
        <f>SUM('Daily Tracker'!F2:F31)</f>
        <v>4459</v>
      </c>
    </row>
    <row r="9" spans="1:11" ht="15.6" x14ac:dyDescent="0.3">
      <c r="A9" s="11" t="s">
        <v>48</v>
      </c>
      <c r="B9" s="10">
        <f>AVERAGE('Daily Tracker'!H2:H31)</f>
        <v>2.2766666666666664</v>
      </c>
    </row>
    <row r="10" spans="1:11" ht="15.6" x14ac:dyDescent="0.3">
      <c r="A10" s="11" t="s">
        <v>49</v>
      </c>
      <c r="B10" s="10">
        <f>AVERAGE('Daily Tracker'!I2:I31)</f>
        <v>7.416666666666667</v>
      </c>
    </row>
    <row r="11" spans="1:11" ht="15.6" x14ac:dyDescent="0.3">
      <c r="A11" s="11" t="s">
        <v>50</v>
      </c>
      <c r="B11" s="10">
        <f>AVERAGE('Daily Tracker'!K2:K31)</f>
        <v>51.763333333333321</v>
      </c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showGridLines="0" zoomScale="85" workbookViewId="0">
      <selection activeCell="B19" sqref="B19"/>
    </sheetView>
  </sheetViews>
  <sheetFormatPr defaultRowHeight="14.4" x14ac:dyDescent="0.3"/>
  <cols>
    <col min="1" max="1" width="22" customWidth="1"/>
    <col min="2" max="3" width="18" customWidth="1"/>
    <col min="4" max="4" width="20" customWidth="1"/>
  </cols>
  <sheetData>
    <row r="1" spans="1:4" ht="21" x14ac:dyDescent="0.4">
      <c r="A1" s="8" t="s">
        <v>51</v>
      </c>
      <c r="B1" s="7"/>
      <c r="C1" s="7"/>
      <c r="D1" s="7"/>
    </row>
    <row r="3" spans="1:4" x14ac:dyDescent="0.3">
      <c r="A3" s="5" t="s">
        <v>3</v>
      </c>
      <c r="B3" s="5" t="s">
        <v>52</v>
      </c>
      <c r="C3" s="5" t="s">
        <v>53</v>
      </c>
      <c r="D3" s="5" t="s">
        <v>54</v>
      </c>
    </row>
    <row r="4" spans="1:4" x14ac:dyDescent="0.3">
      <c r="A4" s="9" t="s">
        <v>13</v>
      </c>
      <c r="B4" s="9">
        <f>COUNTIF('Daily Tracker'!D2:D31,A4)</f>
        <v>4</v>
      </c>
      <c r="C4" s="9">
        <f>SUMIF('Daily Tracker'!D2:D31,A4,'Daily Tracker'!E2:E31)</f>
        <v>109</v>
      </c>
      <c r="D4" s="13">
        <f t="shared" ref="D4:D9" si="0">IF(B4=0,0,C4/B4)</f>
        <v>27.25</v>
      </c>
    </row>
    <row r="5" spans="1:4" x14ac:dyDescent="0.3">
      <c r="A5" s="9" t="s">
        <v>20</v>
      </c>
      <c r="B5" s="9">
        <f>COUNTIF('Daily Tracker'!D2:D31,A5)</f>
        <v>9</v>
      </c>
      <c r="C5" s="9">
        <f>SUMIF('Daily Tracker'!D2:D31,A5,'Daily Tracker'!E2:E31)</f>
        <v>374</v>
      </c>
      <c r="D5" s="13">
        <f t="shared" si="0"/>
        <v>41.555555555555557</v>
      </c>
    </row>
    <row r="6" spans="1:4" x14ac:dyDescent="0.3">
      <c r="A6" s="9" t="s">
        <v>27</v>
      </c>
      <c r="B6" s="9">
        <f>COUNTIF('Daily Tracker'!D2:D31,A6)</f>
        <v>5</v>
      </c>
      <c r="C6" s="9">
        <f>SUMIF('Daily Tracker'!D2:D31,A6,'Daily Tracker'!E2:E31)</f>
        <v>201</v>
      </c>
      <c r="D6" s="13">
        <f t="shared" si="0"/>
        <v>40.200000000000003</v>
      </c>
    </row>
    <row r="7" spans="1:4" x14ac:dyDescent="0.3">
      <c r="A7" s="9" t="s">
        <v>23</v>
      </c>
      <c r="B7" s="9">
        <f>COUNTIF('Daily Tracker'!D2:D31,A7)</f>
        <v>4</v>
      </c>
      <c r="C7" s="9">
        <f>SUMIF('Daily Tracker'!D2:D31,A7,'Daily Tracker'!E2:E31)</f>
        <v>161</v>
      </c>
      <c r="D7" s="13">
        <f t="shared" si="0"/>
        <v>40.25</v>
      </c>
    </row>
    <row r="8" spans="1:4" x14ac:dyDescent="0.3">
      <c r="A8" s="9" t="s">
        <v>18</v>
      </c>
      <c r="B8" s="9">
        <f>COUNTIF('Daily Tracker'!D2:D31,A8)</f>
        <v>4</v>
      </c>
      <c r="C8" s="9">
        <f>SUMIF('Daily Tracker'!D2:D31,A8,'Daily Tracker'!E2:E31)</f>
        <v>171</v>
      </c>
      <c r="D8" s="13">
        <f t="shared" si="0"/>
        <v>42.75</v>
      </c>
    </row>
    <row r="9" spans="1:4" x14ac:dyDescent="0.3">
      <c r="A9" s="9" t="s">
        <v>26</v>
      </c>
      <c r="B9" s="9">
        <f>COUNTIF('Daily Tracker'!D2:D31,A9)</f>
        <v>4</v>
      </c>
      <c r="C9" s="9">
        <f>SUMIF('Daily Tracker'!D2:D31,A9,'Daily Tracker'!E2:E31)</f>
        <v>0</v>
      </c>
      <c r="D9" s="13">
        <f t="shared" si="0"/>
        <v>0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Tracker</vt:lpstr>
      <vt:lpstr>Weekly Summary</vt:lpstr>
      <vt:lpstr>Dashboard</vt:lpstr>
      <vt:lpstr>Workout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pal</cp:lastModifiedBy>
  <dcterms:created xsi:type="dcterms:W3CDTF">2026-10-21T15:22:16Z</dcterms:created>
  <dcterms:modified xsi:type="dcterms:W3CDTF">2026-10-26T06:43:21Z</dcterms:modified>
</cp:coreProperties>
</file>